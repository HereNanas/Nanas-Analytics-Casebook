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NANAS\Downloads\Dataset Sumthing\"/>
    </mc:Choice>
  </mc:AlternateContent>
  <xr:revisionPtr revIDLastSave="0" documentId="13_ncr:1_{FEB6599F-8649-4B6F-966B-6B900C09229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81029"/>
</workbook>
</file>

<file path=xl/calcChain.xml><?xml version="1.0" encoding="utf-8"?>
<calcChain xmlns="http://schemas.openxmlformats.org/spreadsheetml/2006/main">
  <c r="P39" i="1" l="1"/>
  <c r="O39" i="1"/>
  <c r="N39" i="1"/>
  <c r="M39" i="1"/>
  <c r="P38" i="1"/>
  <c r="P37" i="1"/>
  <c r="P36" i="1"/>
  <c r="P35" i="1"/>
  <c r="P34" i="1"/>
  <c r="P33" i="1"/>
  <c r="P32" i="1"/>
  <c r="P31" i="1"/>
  <c r="P30" i="1"/>
  <c r="P29" i="1"/>
  <c r="P28" i="1"/>
  <c r="P27" i="1"/>
  <c r="P26" i="1"/>
  <c r="P25" i="1"/>
  <c r="P24" i="1"/>
  <c r="P23" i="1"/>
  <c r="P22" i="1"/>
  <c r="P21" i="1"/>
  <c r="P20" i="1"/>
  <c r="P19" i="1"/>
  <c r="P18" i="1"/>
  <c r="P17" i="1"/>
  <c r="P16" i="1"/>
  <c r="P15" i="1"/>
  <c r="P14" i="1"/>
  <c r="P13" i="1"/>
  <c r="P12" i="1"/>
  <c r="P11" i="1"/>
  <c r="P10" i="1"/>
  <c r="P9" i="1"/>
  <c r="P8" i="1"/>
  <c r="P7" i="1"/>
  <c r="P6" i="1"/>
  <c r="P5" i="1"/>
  <c r="I39" i="1" l="1"/>
  <c r="H39" i="1"/>
  <c r="E39" i="1"/>
  <c r="D39" i="1"/>
  <c r="C39" i="1"/>
  <c r="K38" i="1"/>
  <c r="F38" i="1"/>
  <c r="K37" i="1"/>
  <c r="F37" i="1"/>
  <c r="K36" i="1"/>
  <c r="F36" i="1"/>
  <c r="K35" i="1"/>
  <c r="F35" i="1"/>
  <c r="K34" i="1"/>
  <c r="F34" i="1"/>
  <c r="K33" i="1"/>
  <c r="F33" i="1"/>
  <c r="K32" i="1"/>
  <c r="F32" i="1"/>
  <c r="K31" i="1"/>
  <c r="F31" i="1"/>
  <c r="K30" i="1"/>
  <c r="F30" i="1"/>
  <c r="K29" i="1"/>
  <c r="F29" i="1"/>
  <c r="K28" i="1"/>
  <c r="F28" i="1"/>
  <c r="K27" i="1"/>
  <c r="F27" i="1"/>
  <c r="K26" i="1"/>
  <c r="F26" i="1"/>
  <c r="K25" i="1"/>
  <c r="F25" i="1"/>
  <c r="K24" i="1"/>
  <c r="F24" i="1"/>
  <c r="K23" i="1"/>
  <c r="F23" i="1"/>
  <c r="K22" i="1"/>
  <c r="F22" i="1"/>
  <c r="K21" i="1"/>
  <c r="F21" i="1"/>
  <c r="K20" i="1"/>
  <c r="F20" i="1"/>
  <c r="K19" i="1"/>
  <c r="F19" i="1"/>
  <c r="K18" i="1"/>
  <c r="F18" i="1"/>
  <c r="K17" i="1"/>
  <c r="F17" i="1"/>
  <c r="K16" i="1"/>
  <c r="F16" i="1"/>
  <c r="K15" i="1"/>
  <c r="F15" i="1"/>
  <c r="K14" i="1"/>
  <c r="F14" i="1"/>
  <c r="K13" i="1"/>
  <c r="F13" i="1"/>
  <c r="K12" i="1"/>
  <c r="F12" i="1"/>
  <c r="K11" i="1"/>
  <c r="F11" i="1"/>
  <c r="K10" i="1"/>
  <c r="F10" i="1"/>
  <c r="K9" i="1"/>
  <c r="F9" i="1"/>
  <c r="K8" i="1"/>
  <c r="F8" i="1"/>
  <c r="K7" i="1"/>
  <c r="F7" i="1"/>
  <c r="K6" i="1"/>
  <c r="F6" i="1"/>
  <c r="J39" i="1" s="1"/>
  <c r="K5" i="1"/>
  <c r="F5" i="1"/>
  <c r="K39" i="1" l="1"/>
  <c r="F39" i="1"/>
</calcChain>
</file>

<file path=xl/sharedStrings.xml><?xml version="1.0" encoding="utf-8"?>
<sst xmlns="http://schemas.openxmlformats.org/spreadsheetml/2006/main" count="55" uniqueCount="44">
  <si>
    <t>No.</t>
  </si>
  <si>
    <t>Provinsi</t>
  </si>
  <si>
    <t>Segmen Peserta</t>
  </si>
  <si>
    <t>Jumlah</t>
  </si>
  <si>
    <t xml:space="preserve">Tahun </t>
  </si>
  <si>
    <t>PU</t>
  </si>
  <si>
    <t>BPU</t>
  </si>
  <si>
    <t>Jasa Konstruksi</t>
  </si>
  <si>
    <t>Aceh</t>
  </si>
  <si>
    <t>Sumatera Utara</t>
  </si>
  <si>
    <t>Sumatera Barat</t>
  </si>
  <si>
    <t>Riau</t>
  </si>
  <si>
    <t>Jambi</t>
  </si>
  <si>
    <t>Sumatera Selatan</t>
  </si>
  <si>
    <t>Bengkulu</t>
  </si>
  <si>
    <t>Lampung</t>
  </si>
  <si>
    <t>Kep. Bangka Belitung</t>
  </si>
  <si>
    <t>Kepulauan Riau</t>
  </si>
  <si>
    <t>DKI Jakarta</t>
  </si>
  <si>
    <t>Jawa Barat</t>
  </si>
  <si>
    <t>Jawa Tengah</t>
  </si>
  <si>
    <t>DI Yogyakarta</t>
  </si>
  <si>
    <t>Jawa Timur</t>
  </si>
  <si>
    <t>Banten</t>
  </si>
  <si>
    <t>Bali</t>
  </si>
  <si>
    <t>Nusa Tenggara Barat</t>
  </si>
  <si>
    <t>Nusa Tenggara Timur</t>
  </si>
  <si>
    <t>Kalimantan Barat</t>
  </si>
  <si>
    <t>Kalimantan Tengah</t>
  </si>
  <si>
    <t>Kalimantan Selatan</t>
  </si>
  <si>
    <t>Kalimantan Timur</t>
  </si>
  <si>
    <t>Kalimantan Utara</t>
  </si>
  <si>
    <t>Sulawesi Utara</t>
  </si>
  <si>
    <t>Sulawesi Tengah</t>
  </si>
  <si>
    <t>Sulawesi Selatan</t>
  </si>
  <si>
    <t>Sulawesi Tenggara</t>
  </si>
  <si>
    <t>Gorontalo</t>
  </si>
  <si>
    <t>Sulawesi Barat</t>
  </si>
  <si>
    <t>Maluku</t>
  </si>
  <si>
    <t>Maluku Utara</t>
  </si>
  <si>
    <t>Papua Barat</t>
  </si>
  <si>
    <t>Papua</t>
  </si>
  <si>
    <t>Konstruksi</t>
  </si>
  <si>
    <t>Tahun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</si>
</sst>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(* #,##0_);_(* \(#,##0\);_(* &quot;-&quot;_);_(@_)"/>
    <numFmt numFmtId="164" formatCode="_-* #,##0_-;\-* #,##0_-;_-* &quot;-&quot;??_-;_-@"/>
  </numFmts>
  <fonts count="6" x14ac:knownFonts="1">
    <font>
      <sz val="10"/>
      <color rgb="FF000000"/>
      <name val="Arial"/>
      <scheme val="minor"/>
    </font>
    <font>
      <sz val="10"/>
      <color rgb="FF000000"/>
      <name val="Arial"/>
      <family val="2"/>
      <scheme val="minor"/>
    </font>
    <font>
      <sz val="12"/>
      <color theme="1"/>
      <name val="Arial"/>
      <family val="2"/>
      <scheme val="major"/>
    </font>
    <font>
      <b/>
      <sz val="12"/>
      <color theme="1"/>
      <name val="Arial"/>
      <family val="2"/>
      <scheme val="major"/>
    </font>
    <font>
      <sz val="12"/>
      <name val="Arial"/>
      <family val="2"/>
      <scheme val="major"/>
    </font>
    <font>
      <sz val="12"/>
      <color rgb="FF000000"/>
      <name val="Arial"/>
      <family val="2"/>
      <scheme val="maj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27">
    <xf numFmtId="0" fontId="0" fillId="0" borderId="0" xfId="0"/>
    <xf numFmtId="164" fontId="2" fillId="0" borderId="6" xfId="0" applyNumberFormat="1" applyFont="1" applyBorder="1" applyAlignment="1">
      <alignment horizontal="right" wrapText="1"/>
    </xf>
    <xf numFmtId="164" fontId="3" fillId="0" borderId="6" xfId="0" applyNumberFormat="1" applyFont="1" applyBorder="1" applyAlignment="1">
      <alignment horizontal="right"/>
    </xf>
    <xf numFmtId="0" fontId="3" fillId="0" borderId="1" xfId="0" applyFont="1" applyBorder="1" applyAlignment="1">
      <alignment horizontal="center" wrapText="1"/>
    </xf>
    <xf numFmtId="0" fontId="3" fillId="0" borderId="2" xfId="0" applyFont="1" applyBorder="1" applyAlignment="1">
      <alignment horizontal="center" wrapText="1"/>
    </xf>
    <xf numFmtId="0" fontId="4" fillId="0" borderId="3" xfId="0" applyFont="1" applyBorder="1"/>
    <xf numFmtId="0" fontId="4" fillId="0" borderId="4" xfId="0" applyFont="1" applyBorder="1"/>
    <xf numFmtId="41" fontId="3" fillId="0" borderId="1" xfId="0" applyNumberFormat="1" applyFont="1" applyBorder="1" applyAlignment="1">
      <alignment horizontal="center" wrapText="1"/>
    </xf>
    <xf numFmtId="0" fontId="3" fillId="0" borderId="1" xfId="0" applyFont="1" applyBorder="1"/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41" fontId="3" fillId="0" borderId="10" xfId="1" applyFont="1" applyFill="1" applyBorder="1" applyAlignment="1">
      <alignment horizontal="center" vertical="center" wrapText="1"/>
    </xf>
    <xf numFmtId="0" fontId="4" fillId="0" borderId="5" xfId="0" applyFont="1" applyBorder="1"/>
    <xf numFmtId="41" fontId="3" fillId="0" borderId="6" xfId="0" applyNumberFormat="1" applyFont="1" applyBorder="1" applyAlignment="1">
      <alignment horizontal="center" wrapText="1"/>
    </xf>
    <xf numFmtId="41" fontId="3" fillId="0" borderId="10" xfId="1" applyFont="1" applyBorder="1" applyAlignment="1">
      <alignment horizontal="center" vertical="center" wrapText="1"/>
    </xf>
    <xf numFmtId="41" fontId="3" fillId="0" borderId="10" xfId="1" applyFont="1" applyFill="1" applyBorder="1" applyAlignment="1">
      <alignment horizontal="center" vertical="center" wrapText="1"/>
    </xf>
    <xf numFmtId="0" fontId="2" fillId="0" borderId="6" xfId="0" applyFont="1" applyBorder="1" applyAlignment="1">
      <alignment horizontal="center"/>
    </xf>
    <xf numFmtId="0" fontId="2" fillId="0" borderId="6" xfId="0" applyFont="1" applyBorder="1"/>
    <xf numFmtId="41" fontId="2" fillId="0" borderId="6" xfId="0" applyNumberFormat="1" applyFont="1" applyBorder="1" applyAlignment="1">
      <alignment horizontal="right" wrapText="1"/>
    </xf>
    <xf numFmtId="41" fontId="2" fillId="0" borderId="6" xfId="0" applyNumberFormat="1" applyFont="1" applyBorder="1" applyAlignment="1">
      <alignment horizontal="right"/>
    </xf>
    <xf numFmtId="41" fontId="2" fillId="0" borderId="10" xfId="1" applyFont="1" applyFill="1" applyBorder="1" applyAlignment="1">
      <alignment vertical="center" wrapText="1"/>
    </xf>
    <xf numFmtId="41" fontId="5" fillId="0" borderId="10" xfId="0" applyNumberFormat="1" applyFont="1" applyBorder="1"/>
    <xf numFmtId="0" fontId="3" fillId="0" borderId="2" xfId="0" applyFont="1" applyBorder="1" applyAlignment="1">
      <alignment horizontal="center"/>
    </xf>
    <xf numFmtId="41" fontId="3" fillId="0" borderId="6" xfId="0" applyNumberFormat="1" applyFont="1" applyBorder="1" applyAlignment="1">
      <alignment horizontal="right"/>
    </xf>
    <xf numFmtId="41" fontId="3" fillId="0" borderId="10" xfId="1" applyFont="1" applyBorder="1"/>
    <xf numFmtId="0" fontId="5" fillId="0" borderId="10" xfId="0" applyFont="1" applyBorder="1"/>
  </cellXfs>
  <cellStyles count="2">
    <cellStyle name="Comma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3:Q39"/>
  <sheetViews>
    <sheetView tabSelected="1" topLeftCell="D1" workbookViewId="0">
      <selection activeCell="L11" sqref="L11"/>
    </sheetView>
  </sheetViews>
  <sheetFormatPr defaultColWidth="12.6640625" defaultRowHeight="15.75" customHeight="1" x14ac:dyDescent="0.25"/>
  <cols>
    <col min="2" max="2" width="18" bestFit="1" customWidth="1"/>
  </cols>
  <sheetData>
    <row r="3" spans="1:17" ht="15.75" customHeight="1" x14ac:dyDescent="0.3">
      <c r="A3" s="3" t="s">
        <v>0</v>
      </c>
      <c r="B3" s="3" t="s">
        <v>1</v>
      </c>
      <c r="C3" s="4" t="s">
        <v>2</v>
      </c>
      <c r="D3" s="5"/>
      <c r="E3" s="6"/>
      <c r="F3" s="7" t="s">
        <v>3</v>
      </c>
      <c r="G3" s="8" t="s">
        <v>4</v>
      </c>
      <c r="H3" s="4" t="s">
        <v>2</v>
      </c>
      <c r="I3" s="5"/>
      <c r="J3" s="6"/>
      <c r="K3" s="7" t="s">
        <v>3</v>
      </c>
      <c r="L3" s="8" t="s">
        <v>4</v>
      </c>
      <c r="M3" s="9" t="s">
        <v>2</v>
      </c>
      <c r="N3" s="10"/>
      <c r="O3" s="10"/>
      <c r="P3" s="11"/>
      <c r="Q3" s="12" t="s">
        <v>43</v>
      </c>
    </row>
    <row r="4" spans="1:17" ht="15.75" customHeight="1" x14ac:dyDescent="0.3">
      <c r="A4" s="13"/>
      <c r="B4" s="13"/>
      <c r="C4" s="14" t="s">
        <v>5</v>
      </c>
      <c r="D4" s="14" t="s">
        <v>6</v>
      </c>
      <c r="E4" s="14" t="s">
        <v>7</v>
      </c>
      <c r="F4" s="13"/>
      <c r="G4" s="13"/>
      <c r="H4" s="14" t="s">
        <v>5</v>
      </c>
      <c r="I4" s="14" t="s">
        <v>6</v>
      </c>
      <c r="J4" s="14" t="s">
        <v>7</v>
      </c>
      <c r="K4" s="13"/>
      <c r="L4" s="13"/>
      <c r="M4" s="15" t="s">
        <v>5</v>
      </c>
      <c r="N4" s="15" t="s">
        <v>6</v>
      </c>
      <c r="O4" s="15" t="s">
        <v>42</v>
      </c>
      <c r="P4" s="16" t="s">
        <v>3</v>
      </c>
      <c r="Q4" s="12"/>
    </row>
    <row r="5" spans="1:17" ht="15.75" customHeight="1" x14ac:dyDescent="0.3">
      <c r="A5" s="17">
        <v>1</v>
      </c>
      <c r="B5" s="18" t="s">
        <v>8</v>
      </c>
      <c r="C5" s="19">
        <v>1128</v>
      </c>
      <c r="D5" s="19">
        <v>228</v>
      </c>
      <c r="E5" s="19">
        <v>11</v>
      </c>
      <c r="F5" s="20">
        <f t="shared" ref="F5:F39" si="0">SUM(C5:E5)</f>
        <v>1367</v>
      </c>
      <c r="G5" s="18">
        <v>2024</v>
      </c>
      <c r="H5" s="1">
        <v>914</v>
      </c>
      <c r="I5" s="1">
        <v>124</v>
      </c>
      <c r="J5" s="1">
        <v>24</v>
      </c>
      <c r="K5" s="2">
        <f t="shared" ref="K5:K38" si="1">SUM(H5:J5)</f>
        <v>1062</v>
      </c>
      <c r="L5" s="18">
        <v>2025</v>
      </c>
      <c r="M5" s="21">
        <v>751</v>
      </c>
      <c r="N5" s="21">
        <v>139</v>
      </c>
      <c r="O5" s="21">
        <v>6</v>
      </c>
      <c r="P5" s="22">
        <f>SUM(M5:O5)</f>
        <v>896</v>
      </c>
      <c r="Q5" s="21">
        <v>2023</v>
      </c>
    </row>
    <row r="6" spans="1:17" ht="15.75" customHeight="1" x14ac:dyDescent="0.3">
      <c r="A6" s="17">
        <v>2</v>
      </c>
      <c r="B6" s="18" t="s">
        <v>9</v>
      </c>
      <c r="C6" s="19">
        <v>22388</v>
      </c>
      <c r="D6" s="19">
        <v>1104</v>
      </c>
      <c r="E6" s="19">
        <v>247</v>
      </c>
      <c r="F6" s="20">
        <f t="shared" si="0"/>
        <v>23739</v>
      </c>
      <c r="G6" s="18">
        <v>2024</v>
      </c>
      <c r="H6" s="1">
        <v>19012</v>
      </c>
      <c r="I6" s="1">
        <v>1014</v>
      </c>
      <c r="J6" s="1">
        <v>158</v>
      </c>
      <c r="K6" s="2">
        <f t="shared" si="1"/>
        <v>20184</v>
      </c>
      <c r="L6" s="18">
        <v>2025</v>
      </c>
      <c r="M6" s="21">
        <v>21302</v>
      </c>
      <c r="N6" s="21">
        <v>716</v>
      </c>
      <c r="O6" s="21">
        <v>156</v>
      </c>
      <c r="P6" s="22">
        <f t="shared" ref="P6:P39" si="2">SUM(M6:O6)</f>
        <v>22174</v>
      </c>
      <c r="Q6" s="21">
        <v>2023</v>
      </c>
    </row>
    <row r="7" spans="1:17" ht="15.75" customHeight="1" x14ac:dyDescent="0.3">
      <c r="A7" s="17">
        <v>3</v>
      </c>
      <c r="B7" s="18" t="s">
        <v>10</v>
      </c>
      <c r="C7" s="19">
        <v>7613</v>
      </c>
      <c r="D7" s="19">
        <v>1049</v>
      </c>
      <c r="E7" s="19">
        <v>105</v>
      </c>
      <c r="F7" s="20">
        <f t="shared" si="0"/>
        <v>8767</v>
      </c>
      <c r="G7" s="18">
        <v>2024</v>
      </c>
      <c r="H7" s="1">
        <v>5964</v>
      </c>
      <c r="I7" s="1">
        <v>885</v>
      </c>
      <c r="J7" s="1">
        <v>60</v>
      </c>
      <c r="K7" s="2">
        <f t="shared" si="1"/>
        <v>6909</v>
      </c>
      <c r="L7" s="18">
        <v>2025</v>
      </c>
      <c r="M7" s="21">
        <v>5424</v>
      </c>
      <c r="N7" s="21">
        <v>547</v>
      </c>
      <c r="O7" s="21">
        <v>82</v>
      </c>
      <c r="P7" s="22">
        <f t="shared" si="2"/>
        <v>6053</v>
      </c>
      <c r="Q7" s="21">
        <v>2023</v>
      </c>
    </row>
    <row r="8" spans="1:17" ht="15.75" customHeight="1" x14ac:dyDescent="0.3">
      <c r="A8" s="17">
        <v>4</v>
      </c>
      <c r="B8" s="18" t="s">
        <v>11</v>
      </c>
      <c r="C8" s="19">
        <v>30411</v>
      </c>
      <c r="D8" s="19">
        <v>1275</v>
      </c>
      <c r="E8" s="19">
        <v>180</v>
      </c>
      <c r="F8" s="20">
        <f t="shared" si="0"/>
        <v>31866</v>
      </c>
      <c r="G8" s="18">
        <v>2024</v>
      </c>
      <c r="H8" s="1">
        <v>24302</v>
      </c>
      <c r="I8" s="1">
        <v>1210</v>
      </c>
      <c r="J8" s="1">
        <v>151</v>
      </c>
      <c r="K8" s="2">
        <f t="shared" si="1"/>
        <v>25663</v>
      </c>
      <c r="L8" s="18">
        <v>2025</v>
      </c>
      <c r="M8" s="21">
        <v>28329</v>
      </c>
      <c r="N8" s="21">
        <v>610</v>
      </c>
      <c r="O8" s="21">
        <v>180</v>
      </c>
      <c r="P8" s="22">
        <f t="shared" si="2"/>
        <v>29119</v>
      </c>
      <c r="Q8" s="21">
        <v>2023</v>
      </c>
    </row>
    <row r="9" spans="1:17" ht="15.75" customHeight="1" x14ac:dyDescent="0.3">
      <c r="A9" s="17">
        <v>5</v>
      </c>
      <c r="B9" s="18" t="s">
        <v>12</v>
      </c>
      <c r="C9" s="19">
        <v>6682</v>
      </c>
      <c r="D9" s="19">
        <v>438</v>
      </c>
      <c r="E9" s="19">
        <v>15</v>
      </c>
      <c r="F9" s="20">
        <f t="shared" si="0"/>
        <v>7135</v>
      </c>
      <c r="G9" s="18">
        <v>2024</v>
      </c>
      <c r="H9" s="1">
        <v>4016</v>
      </c>
      <c r="I9" s="1">
        <v>264</v>
      </c>
      <c r="J9" s="1">
        <v>5</v>
      </c>
      <c r="K9" s="2">
        <f t="shared" si="1"/>
        <v>4285</v>
      </c>
      <c r="L9" s="18">
        <v>2025</v>
      </c>
      <c r="M9" s="21">
        <v>3388</v>
      </c>
      <c r="N9" s="21">
        <v>212</v>
      </c>
      <c r="O9" s="21">
        <v>16</v>
      </c>
      <c r="P9" s="22">
        <f t="shared" si="2"/>
        <v>3616</v>
      </c>
      <c r="Q9" s="21">
        <v>2023</v>
      </c>
    </row>
    <row r="10" spans="1:17" ht="15.75" customHeight="1" x14ac:dyDescent="0.3">
      <c r="A10" s="17">
        <v>6</v>
      </c>
      <c r="B10" s="18" t="s">
        <v>13</v>
      </c>
      <c r="C10" s="19">
        <v>6584</v>
      </c>
      <c r="D10" s="19">
        <v>320</v>
      </c>
      <c r="E10" s="19">
        <v>27</v>
      </c>
      <c r="F10" s="20">
        <f t="shared" si="0"/>
        <v>6931</v>
      </c>
      <c r="G10" s="18">
        <v>2024</v>
      </c>
      <c r="H10" s="1">
        <v>5076</v>
      </c>
      <c r="I10" s="1">
        <v>292</v>
      </c>
      <c r="J10" s="1">
        <v>35</v>
      </c>
      <c r="K10" s="2">
        <f t="shared" si="1"/>
        <v>5403</v>
      </c>
      <c r="L10" s="18">
        <v>2025</v>
      </c>
      <c r="M10" s="21">
        <v>6665</v>
      </c>
      <c r="N10" s="21">
        <v>290</v>
      </c>
      <c r="O10" s="21">
        <v>7</v>
      </c>
      <c r="P10" s="22">
        <f t="shared" si="2"/>
        <v>6962</v>
      </c>
      <c r="Q10" s="21">
        <v>2023</v>
      </c>
    </row>
    <row r="11" spans="1:17" ht="15.75" customHeight="1" x14ac:dyDescent="0.3">
      <c r="A11" s="17">
        <v>7</v>
      </c>
      <c r="B11" s="18" t="s">
        <v>14</v>
      </c>
      <c r="C11" s="19">
        <v>990</v>
      </c>
      <c r="D11" s="19">
        <v>65</v>
      </c>
      <c r="E11" s="19">
        <v>7</v>
      </c>
      <c r="F11" s="20">
        <f t="shared" si="0"/>
        <v>1062</v>
      </c>
      <c r="G11" s="18">
        <v>2024</v>
      </c>
      <c r="H11" s="1">
        <v>1077</v>
      </c>
      <c r="I11" s="1">
        <v>80</v>
      </c>
      <c r="J11" s="1">
        <v>13</v>
      </c>
      <c r="K11" s="2">
        <f t="shared" si="1"/>
        <v>1170</v>
      </c>
      <c r="L11" s="18">
        <v>2025</v>
      </c>
      <c r="M11" s="21">
        <v>942</v>
      </c>
      <c r="N11" s="21">
        <v>59</v>
      </c>
      <c r="O11" s="21">
        <v>5</v>
      </c>
      <c r="P11" s="22">
        <f t="shared" si="2"/>
        <v>1006</v>
      </c>
      <c r="Q11" s="21">
        <v>2023</v>
      </c>
    </row>
    <row r="12" spans="1:17" ht="15.75" customHeight="1" x14ac:dyDescent="0.3">
      <c r="A12" s="17">
        <v>8</v>
      </c>
      <c r="B12" s="18" t="s">
        <v>15</v>
      </c>
      <c r="C12" s="19">
        <v>3630</v>
      </c>
      <c r="D12" s="19">
        <v>128</v>
      </c>
      <c r="E12" s="19">
        <v>8</v>
      </c>
      <c r="F12" s="20">
        <f t="shared" si="0"/>
        <v>3766</v>
      </c>
      <c r="G12" s="18">
        <v>2024</v>
      </c>
      <c r="H12" s="1">
        <v>3164</v>
      </c>
      <c r="I12" s="1">
        <v>174</v>
      </c>
      <c r="J12" s="1">
        <v>20</v>
      </c>
      <c r="K12" s="2">
        <f t="shared" si="1"/>
        <v>3358</v>
      </c>
      <c r="L12" s="18">
        <v>2025</v>
      </c>
      <c r="M12" s="21">
        <v>3142</v>
      </c>
      <c r="N12" s="21">
        <v>160</v>
      </c>
      <c r="O12" s="21">
        <v>5</v>
      </c>
      <c r="P12" s="22">
        <f t="shared" si="2"/>
        <v>3307</v>
      </c>
      <c r="Q12" s="21">
        <v>2023</v>
      </c>
    </row>
    <row r="13" spans="1:17" ht="15.75" customHeight="1" x14ac:dyDescent="0.3">
      <c r="A13" s="17">
        <v>9</v>
      </c>
      <c r="B13" s="18" t="s">
        <v>16</v>
      </c>
      <c r="C13" s="19">
        <v>1225</v>
      </c>
      <c r="D13" s="19">
        <v>123</v>
      </c>
      <c r="E13" s="19">
        <v>4</v>
      </c>
      <c r="F13" s="20">
        <f t="shared" si="0"/>
        <v>1352</v>
      </c>
      <c r="G13" s="18">
        <v>2024</v>
      </c>
      <c r="H13" s="1">
        <v>1491</v>
      </c>
      <c r="I13" s="1">
        <v>129</v>
      </c>
      <c r="J13" s="1">
        <v>3</v>
      </c>
      <c r="K13" s="2">
        <f t="shared" si="1"/>
        <v>1623</v>
      </c>
      <c r="L13" s="18">
        <v>2025</v>
      </c>
      <c r="M13" s="21">
        <v>1365</v>
      </c>
      <c r="N13" s="21">
        <v>74</v>
      </c>
      <c r="O13" s="21">
        <v>10</v>
      </c>
      <c r="P13" s="22">
        <f t="shared" si="2"/>
        <v>1449</v>
      </c>
      <c r="Q13" s="21">
        <v>2023</v>
      </c>
    </row>
    <row r="14" spans="1:17" ht="15.75" customHeight="1" x14ac:dyDescent="0.3">
      <c r="A14" s="17">
        <v>10</v>
      </c>
      <c r="B14" s="18" t="s">
        <v>17</v>
      </c>
      <c r="C14" s="19">
        <v>21448</v>
      </c>
      <c r="D14" s="19">
        <v>826</v>
      </c>
      <c r="E14" s="19">
        <v>277</v>
      </c>
      <c r="F14" s="20">
        <f t="shared" si="0"/>
        <v>22551</v>
      </c>
      <c r="G14" s="18">
        <v>2024</v>
      </c>
      <c r="H14" s="1">
        <v>15083</v>
      </c>
      <c r="I14" s="1">
        <v>702</v>
      </c>
      <c r="J14" s="1">
        <v>306</v>
      </c>
      <c r="K14" s="2">
        <f t="shared" si="1"/>
        <v>16091</v>
      </c>
      <c r="L14" s="18">
        <v>2025</v>
      </c>
      <c r="M14" s="21">
        <v>19664</v>
      </c>
      <c r="N14" s="21">
        <v>666</v>
      </c>
      <c r="O14" s="21">
        <v>187</v>
      </c>
      <c r="P14" s="22">
        <f t="shared" si="2"/>
        <v>20517</v>
      </c>
      <c r="Q14" s="21">
        <v>2023</v>
      </c>
    </row>
    <row r="15" spans="1:17" ht="15.75" customHeight="1" x14ac:dyDescent="0.3">
      <c r="A15" s="17">
        <v>11</v>
      </c>
      <c r="B15" s="18" t="s">
        <v>18</v>
      </c>
      <c r="C15" s="19">
        <v>25313</v>
      </c>
      <c r="D15" s="19">
        <v>3204</v>
      </c>
      <c r="E15" s="19">
        <v>491</v>
      </c>
      <c r="F15" s="20">
        <f t="shared" si="0"/>
        <v>29008</v>
      </c>
      <c r="G15" s="18">
        <v>2024</v>
      </c>
      <c r="H15" s="1">
        <v>11725</v>
      </c>
      <c r="I15" s="1">
        <v>1891</v>
      </c>
      <c r="J15" s="1">
        <v>358</v>
      </c>
      <c r="K15" s="2">
        <f t="shared" si="1"/>
        <v>13974</v>
      </c>
      <c r="L15" s="18">
        <v>2025</v>
      </c>
      <c r="M15" s="21">
        <v>21034</v>
      </c>
      <c r="N15" s="21">
        <v>1980</v>
      </c>
      <c r="O15" s="21">
        <v>385</v>
      </c>
      <c r="P15" s="22">
        <f t="shared" si="2"/>
        <v>23399</v>
      </c>
      <c r="Q15" s="21">
        <v>2023</v>
      </c>
    </row>
    <row r="16" spans="1:17" ht="15.75" customHeight="1" x14ac:dyDescent="0.3">
      <c r="A16" s="17">
        <v>12</v>
      </c>
      <c r="B16" s="18" t="s">
        <v>19</v>
      </c>
      <c r="C16" s="19">
        <v>74207</v>
      </c>
      <c r="D16" s="19">
        <v>5000</v>
      </c>
      <c r="E16" s="19">
        <v>561</v>
      </c>
      <c r="F16" s="20">
        <f t="shared" si="0"/>
        <v>79768</v>
      </c>
      <c r="G16" s="18">
        <v>2024</v>
      </c>
      <c r="H16" s="1">
        <v>48145</v>
      </c>
      <c r="I16" s="1">
        <v>4549</v>
      </c>
      <c r="J16" s="1">
        <v>710</v>
      </c>
      <c r="K16" s="2">
        <f t="shared" si="1"/>
        <v>53404</v>
      </c>
      <c r="L16" s="18">
        <v>2025</v>
      </c>
      <c r="M16" s="21">
        <v>62808</v>
      </c>
      <c r="N16" s="21">
        <v>2824</v>
      </c>
      <c r="O16" s="21">
        <v>397</v>
      </c>
      <c r="P16" s="22">
        <f t="shared" si="2"/>
        <v>66029</v>
      </c>
      <c r="Q16" s="21">
        <v>2023</v>
      </c>
    </row>
    <row r="17" spans="1:17" ht="15.75" customHeight="1" x14ac:dyDescent="0.3">
      <c r="A17" s="17">
        <v>13</v>
      </c>
      <c r="B17" s="18" t="s">
        <v>20</v>
      </c>
      <c r="C17" s="19">
        <v>53789</v>
      </c>
      <c r="D17" s="19">
        <v>4821</v>
      </c>
      <c r="E17" s="19">
        <v>346</v>
      </c>
      <c r="F17" s="20">
        <f t="shared" si="0"/>
        <v>58956</v>
      </c>
      <c r="G17" s="18">
        <v>2024</v>
      </c>
      <c r="H17" s="1">
        <v>34166</v>
      </c>
      <c r="I17" s="1">
        <v>3323</v>
      </c>
      <c r="J17" s="1">
        <v>315</v>
      </c>
      <c r="K17" s="2">
        <f t="shared" si="1"/>
        <v>37804</v>
      </c>
      <c r="L17" s="18">
        <v>2025</v>
      </c>
      <c r="M17" s="21">
        <v>40589</v>
      </c>
      <c r="N17" s="21">
        <v>2399</v>
      </c>
      <c r="O17" s="21">
        <v>223</v>
      </c>
      <c r="P17" s="22">
        <f t="shared" si="2"/>
        <v>43211</v>
      </c>
      <c r="Q17" s="21">
        <v>2023</v>
      </c>
    </row>
    <row r="18" spans="1:17" ht="15.75" customHeight="1" x14ac:dyDescent="0.3">
      <c r="A18" s="17">
        <v>14</v>
      </c>
      <c r="B18" s="18" t="s">
        <v>21</v>
      </c>
      <c r="C18" s="19">
        <v>10818</v>
      </c>
      <c r="D18" s="19">
        <v>2007</v>
      </c>
      <c r="E18" s="19">
        <v>115</v>
      </c>
      <c r="F18" s="20">
        <f t="shared" si="0"/>
        <v>12940</v>
      </c>
      <c r="G18" s="18">
        <v>2024</v>
      </c>
      <c r="H18" s="1">
        <v>4788</v>
      </c>
      <c r="I18" s="1">
        <v>1070</v>
      </c>
      <c r="J18" s="1">
        <v>31</v>
      </c>
      <c r="K18" s="2">
        <f t="shared" si="1"/>
        <v>5889</v>
      </c>
      <c r="L18" s="18">
        <v>2025</v>
      </c>
      <c r="M18" s="21">
        <v>6470</v>
      </c>
      <c r="N18" s="21">
        <v>714</v>
      </c>
      <c r="O18" s="21">
        <v>36</v>
      </c>
      <c r="P18" s="22">
        <f t="shared" si="2"/>
        <v>7220</v>
      </c>
      <c r="Q18" s="21">
        <v>2023</v>
      </c>
    </row>
    <row r="19" spans="1:17" ht="15.75" customHeight="1" x14ac:dyDescent="0.3">
      <c r="A19" s="17">
        <v>15</v>
      </c>
      <c r="B19" s="18" t="s">
        <v>22</v>
      </c>
      <c r="C19" s="19">
        <v>74319</v>
      </c>
      <c r="D19" s="19">
        <v>5585</v>
      </c>
      <c r="E19" s="19">
        <v>867</v>
      </c>
      <c r="F19" s="20">
        <f t="shared" si="0"/>
        <v>80771</v>
      </c>
      <c r="G19" s="18">
        <v>2024</v>
      </c>
      <c r="H19" s="1">
        <v>48647</v>
      </c>
      <c r="I19" s="1">
        <v>4334</v>
      </c>
      <c r="J19" s="1">
        <v>639</v>
      </c>
      <c r="K19" s="2">
        <f t="shared" si="1"/>
        <v>53620</v>
      </c>
      <c r="L19" s="18">
        <v>2025</v>
      </c>
      <c r="M19" s="21">
        <v>53319</v>
      </c>
      <c r="N19" s="21">
        <v>2810</v>
      </c>
      <c r="O19" s="21">
        <v>474</v>
      </c>
      <c r="P19" s="22">
        <f t="shared" si="2"/>
        <v>56603</v>
      </c>
      <c r="Q19" s="21">
        <v>2023</v>
      </c>
    </row>
    <row r="20" spans="1:17" ht="15.75" customHeight="1" x14ac:dyDescent="0.3">
      <c r="A20" s="17">
        <v>16</v>
      </c>
      <c r="B20" s="18" t="s">
        <v>23</v>
      </c>
      <c r="C20" s="19">
        <v>32579</v>
      </c>
      <c r="D20" s="19">
        <v>1589</v>
      </c>
      <c r="E20" s="19">
        <v>278</v>
      </c>
      <c r="F20" s="20">
        <f t="shared" si="0"/>
        <v>34446</v>
      </c>
      <c r="G20" s="18">
        <v>2024</v>
      </c>
      <c r="H20" s="1">
        <v>24866</v>
      </c>
      <c r="I20" s="1">
        <v>1712</v>
      </c>
      <c r="J20" s="1">
        <v>343</v>
      </c>
      <c r="K20" s="2">
        <f t="shared" si="1"/>
        <v>26921</v>
      </c>
      <c r="L20" s="18">
        <v>2025</v>
      </c>
      <c r="M20" s="21">
        <v>28989</v>
      </c>
      <c r="N20" s="21">
        <v>1135</v>
      </c>
      <c r="O20" s="21">
        <v>369</v>
      </c>
      <c r="P20" s="22">
        <f t="shared" si="2"/>
        <v>30493</v>
      </c>
      <c r="Q20" s="21">
        <v>2023</v>
      </c>
    </row>
    <row r="21" spans="1:17" ht="15.75" customHeight="1" x14ac:dyDescent="0.3">
      <c r="A21" s="17">
        <v>17</v>
      </c>
      <c r="B21" s="18" t="s">
        <v>24</v>
      </c>
      <c r="C21" s="19">
        <v>6978</v>
      </c>
      <c r="D21" s="19">
        <v>3050</v>
      </c>
      <c r="E21" s="19">
        <v>41</v>
      </c>
      <c r="F21" s="20">
        <f t="shared" si="0"/>
        <v>10069</v>
      </c>
      <c r="G21" s="18">
        <v>2024</v>
      </c>
      <c r="H21" s="1">
        <v>7162</v>
      </c>
      <c r="I21" s="1">
        <v>2077</v>
      </c>
      <c r="J21" s="1">
        <v>66</v>
      </c>
      <c r="K21" s="2">
        <f t="shared" si="1"/>
        <v>9305</v>
      </c>
      <c r="L21" s="18">
        <v>2025</v>
      </c>
      <c r="M21" s="21">
        <v>7225</v>
      </c>
      <c r="N21" s="21">
        <v>2225</v>
      </c>
      <c r="O21" s="21">
        <v>62</v>
      </c>
      <c r="P21" s="22">
        <f t="shared" si="2"/>
        <v>9512</v>
      </c>
      <c r="Q21" s="21">
        <v>2023</v>
      </c>
    </row>
    <row r="22" spans="1:17" ht="15.75" customHeight="1" x14ac:dyDescent="0.3">
      <c r="A22" s="17">
        <v>18</v>
      </c>
      <c r="B22" s="18" t="s">
        <v>25</v>
      </c>
      <c r="C22" s="19">
        <v>735</v>
      </c>
      <c r="D22" s="19">
        <v>381</v>
      </c>
      <c r="E22" s="19">
        <v>53</v>
      </c>
      <c r="F22" s="20">
        <f t="shared" si="0"/>
        <v>1169</v>
      </c>
      <c r="G22" s="18">
        <v>2024</v>
      </c>
      <c r="H22" s="1">
        <v>542</v>
      </c>
      <c r="I22" s="1">
        <v>229</v>
      </c>
      <c r="J22" s="1">
        <v>24</v>
      </c>
      <c r="K22" s="2">
        <f t="shared" si="1"/>
        <v>795</v>
      </c>
      <c r="L22" s="18">
        <v>2025</v>
      </c>
      <c r="M22" s="21">
        <v>394</v>
      </c>
      <c r="N22" s="21">
        <v>199</v>
      </c>
      <c r="O22" s="21">
        <v>15</v>
      </c>
      <c r="P22" s="22">
        <f t="shared" si="2"/>
        <v>608</v>
      </c>
      <c r="Q22" s="21">
        <v>2023</v>
      </c>
    </row>
    <row r="23" spans="1:17" ht="15.75" customHeight="1" x14ac:dyDescent="0.3">
      <c r="A23" s="17">
        <v>19</v>
      </c>
      <c r="B23" s="18" t="s">
        <v>26</v>
      </c>
      <c r="C23" s="19">
        <v>413</v>
      </c>
      <c r="D23" s="19">
        <v>87</v>
      </c>
      <c r="E23" s="19">
        <v>30</v>
      </c>
      <c r="F23" s="20">
        <f t="shared" si="0"/>
        <v>530</v>
      </c>
      <c r="G23" s="18">
        <v>2024</v>
      </c>
      <c r="H23" s="1">
        <v>317</v>
      </c>
      <c r="I23" s="1">
        <v>92</v>
      </c>
      <c r="J23" s="1">
        <v>15</v>
      </c>
      <c r="K23" s="2">
        <f t="shared" si="1"/>
        <v>424</v>
      </c>
      <c r="L23" s="18">
        <v>2025</v>
      </c>
      <c r="M23" s="21">
        <v>172</v>
      </c>
      <c r="N23" s="21">
        <v>41</v>
      </c>
      <c r="O23" s="21">
        <v>25</v>
      </c>
      <c r="P23" s="22">
        <f t="shared" si="2"/>
        <v>238</v>
      </c>
      <c r="Q23" s="21">
        <v>2023</v>
      </c>
    </row>
    <row r="24" spans="1:17" ht="15.75" customHeight="1" x14ac:dyDescent="0.3">
      <c r="A24" s="17">
        <v>20</v>
      </c>
      <c r="B24" s="18" t="s">
        <v>27</v>
      </c>
      <c r="C24" s="19">
        <v>3657</v>
      </c>
      <c r="D24" s="19">
        <v>512</v>
      </c>
      <c r="E24" s="19">
        <v>24</v>
      </c>
      <c r="F24" s="20">
        <f t="shared" si="0"/>
        <v>4193</v>
      </c>
      <c r="G24" s="18">
        <v>2024</v>
      </c>
      <c r="H24" s="1">
        <v>3075</v>
      </c>
      <c r="I24" s="1">
        <v>484</v>
      </c>
      <c r="J24" s="1">
        <v>28</v>
      </c>
      <c r="K24" s="2">
        <f t="shared" si="1"/>
        <v>3587</v>
      </c>
      <c r="L24" s="18">
        <v>2025</v>
      </c>
      <c r="M24" s="21">
        <v>3496</v>
      </c>
      <c r="N24" s="21">
        <v>448</v>
      </c>
      <c r="O24" s="21">
        <v>29</v>
      </c>
      <c r="P24" s="22">
        <f t="shared" si="2"/>
        <v>3973</v>
      </c>
      <c r="Q24" s="21">
        <v>2023</v>
      </c>
    </row>
    <row r="25" spans="1:17" ht="15.75" customHeight="1" x14ac:dyDescent="0.3">
      <c r="A25" s="17">
        <v>21</v>
      </c>
      <c r="B25" s="18" t="s">
        <v>28</v>
      </c>
      <c r="C25" s="19">
        <v>9139</v>
      </c>
      <c r="D25" s="19">
        <v>149</v>
      </c>
      <c r="E25" s="19">
        <v>14</v>
      </c>
      <c r="F25" s="20">
        <f t="shared" si="0"/>
        <v>9302</v>
      </c>
      <c r="G25" s="18">
        <v>2024</v>
      </c>
      <c r="H25" s="1">
        <v>5973</v>
      </c>
      <c r="I25" s="1">
        <v>186</v>
      </c>
      <c r="J25" s="1">
        <v>10</v>
      </c>
      <c r="K25" s="2">
        <f t="shared" si="1"/>
        <v>6169</v>
      </c>
      <c r="L25" s="18">
        <v>2025</v>
      </c>
      <c r="M25" s="21">
        <v>8859</v>
      </c>
      <c r="N25" s="21">
        <v>149</v>
      </c>
      <c r="O25" s="21">
        <v>13</v>
      </c>
      <c r="P25" s="22">
        <f t="shared" si="2"/>
        <v>9021</v>
      </c>
      <c r="Q25" s="21">
        <v>2023</v>
      </c>
    </row>
    <row r="26" spans="1:17" ht="15.75" customHeight="1" x14ac:dyDescent="0.3">
      <c r="A26" s="17">
        <v>22</v>
      </c>
      <c r="B26" s="18" t="s">
        <v>29</v>
      </c>
      <c r="C26" s="19">
        <v>5801</v>
      </c>
      <c r="D26" s="19">
        <v>513</v>
      </c>
      <c r="E26" s="19">
        <v>30</v>
      </c>
      <c r="F26" s="20">
        <f t="shared" si="0"/>
        <v>6344</v>
      </c>
      <c r="G26" s="18">
        <v>2024</v>
      </c>
      <c r="H26" s="1">
        <v>3282</v>
      </c>
      <c r="I26" s="1">
        <v>398</v>
      </c>
      <c r="J26" s="1">
        <v>14</v>
      </c>
      <c r="K26" s="2">
        <f t="shared" si="1"/>
        <v>3694</v>
      </c>
      <c r="L26" s="18">
        <v>2025</v>
      </c>
      <c r="M26" s="21">
        <v>4447</v>
      </c>
      <c r="N26" s="21">
        <v>319</v>
      </c>
      <c r="O26" s="21">
        <v>31</v>
      </c>
      <c r="P26" s="22">
        <f t="shared" si="2"/>
        <v>4797</v>
      </c>
      <c r="Q26" s="21">
        <v>2023</v>
      </c>
    </row>
    <row r="27" spans="1:17" ht="15.75" customHeight="1" x14ac:dyDescent="0.3">
      <c r="A27" s="17">
        <v>23</v>
      </c>
      <c r="B27" s="18" t="s">
        <v>30</v>
      </c>
      <c r="C27" s="19">
        <v>10957</v>
      </c>
      <c r="D27" s="19">
        <v>796</v>
      </c>
      <c r="E27" s="19">
        <v>192</v>
      </c>
      <c r="F27" s="20">
        <f t="shared" si="0"/>
        <v>11945</v>
      </c>
      <c r="G27" s="18">
        <v>2024</v>
      </c>
      <c r="H27" s="1">
        <v>5620</v>
      </c>
      <c r="I27" s="1">
        <v>366</v>
      </c>
      <c r="J27" s="1">
        <v>115</v>
      </c>
      <c r="K27" s="2">
        <f t="shared" si="1"/>
        <v>6101</v>
      </c>
      <c r="L27" s="18">
        <v>2025</v>
      </c>
      <c r="M27" s="21">
        <v>9434</v>
      </c>
      <c r="N27" s="21">
        <v>361</v>
      </c>
      <c r="O27" s="21">
        <v>72</v>
      </c>
      <c r="P27" s="22">
        <f t="shared" si="2"/>
        <v>9867</v>
      </c>
      <c r="Q27" s="21">
        <v>2023</v>
      </c>
    </row>
    <row r="28" spans="1:17" ht="15.6" x14ac:dyDescent="0.3">
      <c r="A28" s="17">
        <v>24</v>
      </c>
      <c r="B28" s="18" t="s">
        <v>31</v>
      </c>
      <c r="C28" s="19">
        <v>1359</v>
      </c>
      <c r="D28" s="19">
        <v>228</v>
      </c>
      <c r="E28" s="19">
        <v>122</v>
      </c>
      <c r="F28" s="20">
        <f t="shared" si="0"/>
        <v>1709</v>
      </c>
      <c r="G28" s="18">
        <v>2024</v>
      </c>
      <c r="H28" s="1">
        <v>756</v>
      </c>
      <c r="I28" s="1">
        <v>87</v>
      </c>
      <c r="J28" s="1">
        <v>34</v>
      </c>
      <c r="K28" s="2">
        <f t="shared" si="1"/>
        <v>877</v>
      </c>
      <c r="L28" s="18">
        <v>2025</v>
      </c>
      <c r="M28" s="21">
        <v>613</v>
      </c>
      <c r="N28" s="21">
        <v>124</v>
      </c>
      <c r="O28" s="21">
        <v>10</v>
      </c>
      <c r="P28" s="22">
        <f t="shared" si="2"/>
        <v>747</v>
      </c>
      <c r="Q28" s="21">
        <v>2023</v>
      </c>
    </row>
    <row r="29" spans="1:17" ht="15.6" x14ac:dyDescent="0.3">
      <c r="A29" s="17">
        <v>25</v>
      </c>
      <c r="B29" s="18" t="s">
        <v>32</v>
      </c>
      <c r="C29" s="19">
        <v>868</v>
      </c>
      <c r="D29" s="19">
        <v>83</v>
      </c>
      <c r="E29" s="19">
        <v>19</v>
      </c>
      <c r="F29" s="20">
        <f t="shared" si="0"/>
        <v>970</v>
      </c>
      <c r="G29" s="18">
        <v>2024</v>
      </c>
      <c r="H29" s="1">
        <v>612</v>
      </c>
      <c r="I29" s="1">
        <v>63</v>
      </c>
      <c r="J29" s="1">
        <v>10</v>
      </c>
      <c r="K29" s="2">
        <f t="shared" si="1"/>
        <v>685</v>
      </c>
      <c r="L29" s="18">
        <v>2025</v>
      </c>
      <c r="M29" s="21">
        <v>696</v>
      </c>
      <c r="N29" s="21">
        <v>64</v>
      </c>
      <c r="O29" s="21">
        <v>18</v>
      </c>
      <c r="P29" s="22">
        <f t="shared" si="2"/>
        <v>778</v>
      </c>
      <c r="Q29" s="21">
        <v>2023</v>
      </c>
    </row>
    <row r="30" spans="1:17" ht="15.6" x14ac:dyDescent="0.3">
      <c r="A30" s="17">
        <v>26</v>
      </c>
      <c r="B30" s="18" t="s">
        <v>33</v>
      </c>
      <c r="C30" s="19">
        <v>4812</v>
      </c>
      <c r="D30" s="19">
        <v>134</v>
      </c>
      <c r="E30" s="19">
        <v>55</v>
      </c>
      <c r="F30" s="20">
        <f t="shared" si="0"/>
        <v>5001</v>
      </c>
      <c r="G30" s="18">
        <v>2024</v>
      </c>
      <c r="H30" s="1">
        <v>4435</v>
      </c>
      <c r="I30" s="1">
        <v>80</v>
      </c>
      <c r="J30" s="1">
        <v>30</v>
      </c>
      <c r="K30" s="2">
        <f t="shared" si="1"/>
        <v>4545</v>
      </c>
      <c r="L30" s="18">
        <v>2025</v>
      </c>
      <c r="M30" s="21">
        <v>233</v>
      </c>
      <c r="N30" s="21">
        <v>86</v>
      </c>
      <c r="O30" s="21">
        <v>1</v>
      </c>
      <c r="P30" s="22">
        <f t="shared" si="2"/>
        <v>320</v>
      </c>
      <c r="Q30" s="21">
        <v>2023</v>
      </c>
    </row>
    <row r="31" spans="1:17" ht="15.6" x14ac:dyDescent="0.3">
      <c r="A31" s="17">
        <v>27</v>
      </c>
      <c r="B31" s="18" t="s">
        <v>34</v>
      </c>
      <c r="C31" s="19">
        <v>2446</v>
      </c>
      <c r="D31" s="19">
        <v>401</v>
      </c>
      <c r="E31" s="19">
        <v>68</v>
      </c>
      <c r="F31" s="20">
        <f t="shared" si="0"/>
        <v>2915</v>
      </c>
      <c r="G31" s="18">
        <v>2024</v>
      </c>
      <c r="H31" s="1">
        <v>1843</v>
      </c>
      <c r="I31" s="1">
        <v>352</v>
      </c>
      <c r="J31" s="1">
        <v>38</v>
      </c>
      <c r="K31" s="2">
        <f t="shared" si="1"/>
        <v>2233</v>
      </c>
      <c r="L31" s="18">
        <v>2025</v>
      </c>
      <c r="M31" s="21">
        <v>1890</v>
      </c>
      <c r="N31" s="21">
        <v>298</v>
      </c>
      <c r="O31" s="21">
        <v>81</v>
      </c>
      <c r="P31" s="22">
        <f t="shared" si="2"/>
        <v>2269</v>
      </c>
      <c r="Q31" s="21">
        <v>2023</v>
      </c>
    </row>
    <row r="32" spans="1:17" ht="15.6" x14ac:dyDescent="0.3">
      <c r="A32" s="17">
        <v>28</v>
      </c>
      <c r="B32" s="18" t="s">
        <v>35</v>
      </c>
      <c r="C32" s="19">
        <v>757</v>
      </c>
      <c r="D32" s="19">
        <v>24</v>
      </c>
      <c r="E32" s="19">
        <v>2</v>
      </c>
      <c r="F32" s="20">
        <f t="shared" si="0"/>
        <v>783</v>
      </c>
      <c r="G32" s="18">
        <v>2024</v>
      </c>
      <c r="H32" s="1">
        <v>588</v>
      </c>
      <c r="I32" s="1">
        <v>23</v>
      </c>
      <c r="J32" s="1">
        <v>5</v>
      </c>
      <c r="K32" s="2">
        <f t="shared" si="1"/>
        <v>616</v>
      </c>
      <c r="L32" s="18">
        <v>2025</v>
      </c>
      <c r="M32" s="21">
        <v>534</v>
      </c>
      <c r="N32" s="21">
        <v>30</v>
      </c>
      <c r="O32" s="21">
        <v>7</v>
      </c>
      <c r="P32" s="22">
        <f t="shared" si="2"/>
        <v>571</v>
      </c>
      <c r="Q32" s="21">
        <v>2023</v>
      </c>
    </row>
    <row r="33" spans="1:17" ht="15.6" x14ac:dyDescent="0.3">
      <c r="A33" s="17">
        <v>29</v>
      </c>
      <c r="B33" s="18" t="s">
        <v>36</v>
      </c>
      <c r="C33" s="19">
        <v>190</v>
      </c>
      <c r="D33" s="19">
        <v>59</v>
      </c>
      <c r="E33" s="19">
        <v>0</v>
      </c>
      <c r="F33" s="20">
        <f t="shared" si="0"/>
        <v>249</v>
      </c>
      <c r="G33" s="18">
        <v>2024</v>
      </c>
      <c r="H33" s="1">
        <v>162</v>
      </c>
      <c r="I33" s="1">
        <v>45</v>
      </c>
      <c r="J33" s="1">
        <v>4</v>
      </c>
      <c r="K33" s="2">
        <f t="shared" si="1"/>
        <v>211</v>
      </c>
      <c r="L33" s="18">
        <v>2025</v>
      </c>
      <c r="M33" s="21">
        <v>3416</v>
      </c>
      <c r="N33" s="21">
        <v>76</v>
      </c>
      <c r="O33" s="21">
        <v>25</v>
      </c>
      <c r="P33" s="22">
        <f t="shared" si="2"/>
        <v>3517</v>
      </c>
      <c r="Q33" s="21">
        <v>2023</v>
      </c>
    </row>
    <row r="34" spans="1:17" ht="15.6" x14ac:dyDescent="0.3">
      <c r="A34" s="17">
        <v>30</v>
      </c>
      <c r="B34" s="18" t="s">
        <v>37</v>
      </c>
      <c r="C34" s="19">
        <v>90</v>
      </c>
      <c r="D34" s="19">
        <v>30</v>
      </c>
      <c r="E34" s="19">
        <v>5</v>
      </c>
      <c r="F34" s="20">
        <f t="shared" si="0"/>
        <v>125</v>
      </c>
      <c r="G34" s="18">
        <v>2024</v>
      </c>
      <c r="H34" s="1">
        <v>104</v>
      </c>
      <c r="I34" s="1">
        <v>34</v>
      </c>
      <c r="J34" s="1">
        <v>6</v>
      </c>
      <c r="K34" s="2">
        <f t="shared" si="1"/>
        <v>144</v>
      </c>
      <c r="L34" s="18">
        <v>2025</v>
      </c>
      <c r="M34" s="21">
        <v>57</v>
      </c>
      <c r="N34" s="21">
        <v>24</v>
      </c>
      <c r="O34" s="21">
        <v>4</v>
      </c>
      <c r="P34" s="22">
        <f t="shared" si="2"/>
        <v>85</v>
      </c>
      <c r="Q34" s="21">
        <v>2023</v>
      </c>
    </row>
    <row r="35" spans="1:17" ht="15.6" x14ac:dyDescent="0.3">
      <c r="A35" s="17">
        <v>31</v>
      </c>
      <c r="B35" s="18" t="s">
        <v>38</v>
      </c>
      <c r="C35" s="19">
        <v>128</v>
      </c>
      <c r="D35" s="19">
        <v>30</v>
      </c>
      <c r="E35" s="19">
        <v>4</v>
      </c>
      <c r="F35" s="20">
        <f t="shared" si="0"/>
        <v>162</v>
      </c>
      <c r="G35" s="18">
        <v>2024</v>
      </c>
      <c r="H35" s="1">
        <v>160</v>
      </c>
      <c r="I35" s="1">
        <v>48</v>
      </c>
      <c r="J35" s="1">
        <v>2</v>
      </c>
      <c r="K35" s="2">
        <f t="shared" si="1"/>
        <v>210</v>
      </c>
      <c r="L35" s="18">
        <v>2025</v>
      </c>
      <c r="M35" s="21">
        <v>183</v>
      </c>
      <c r="N35" s="21">
        <v>23</v>
      </c>
      <c r="O35" s="21">
        <v>3</v>
      </c>
      <c r="P35" s="22">
        <f t="shared" si="2"/>
        <v>209</v>
      </c>
      <c r="Q35" s="21">
        <v>2023</v>
      </c>
    </row>
    <row r="36" spans="1:17" ht="15.6" x14ac:dyDescent="0.3">
      <c r="A36" s="17">
        <v>32</v>
      </c>
      <c r="B36" s="18" t="s">
        <v>39</v>
      </c>
      <c r="C36" s="19">
        <v>376</v>
      </c>
      <c r="D36" s="19">
        <v>38</v>
      </c>
      <c r="E36" s="19">
        <v>7</v>
      </c>
      <c r="F36" s="20">
        <f t="shared" si="0"/>
        <v>421</v>
      </c>
      <c r="G36" s="18">
        <v>2024</v>
      </c>
      <c r="H36" s="1">
        <v>678</v>
      </c>
      <c r="I36" s="1">
        <v>22</v>
      </c>
      <c r="J36" s="1">
        <v>0</v>
      </c>
      <c r="K36" s="2">
        <f t="shared" si="1"/>
        <v>700</v>
      </c>
      <c r="L36" s="18">
        <v>2025</v>
      </c>
      <c r="M36" s="21">
        <v>578</v>
      </c>
      <c r="N36" s="21">
        <v>28</v>
      </c>
      <c r="O36" s="21">
        <v>9</v>
      </c>
      <c r="P36" s="22">
        <f t="shared" si="2"/>
        <v>615</v>
      </c>
      <c r="Q36" s="21">
        <v>2023</v>
      </c>
    </row>
    <row r="37" spans="1:17" ht="15.6" x14ac:dyDescent="0.3">
      <c r="A37" s="17">
        <v>33</v>
      </c>
      <c r="B37" s="18" t="s">
        <v>40</v>
      </c>
      <c r="C37" s="19">
        <v>518</v>
      </c>
      <c r="D37" s="19">
        <v>23</v>
      </c>
      <c r="E37" s="19">
        <v>19</v>
      </c>
      <c r="F37" s="20">
        <f t="shared" si="0"/>
        <v>560</v>
      </c>
      <c r="G37" s="18">
        <v>2024</v>
      </c>
      <c r="H37" s="1">
        <v>581</v>
      </c>
      <c r="I37" s="1">
        <v>13</v>
      </c>
      <c r="J37" s="1">
        <v>9</v>
      </c>
      <c r="K37" s="2">
        <f t="shared" si="1"/>
        <v>603</v>
      </c>
      <c r="L37" s="18">
        <v>2025</v>
      </c>
      <c r="M37" s="21">
        <v>477</v>
      </c>
      <c r="N37" s="21">
        <v>31</v>
      </c>
      <c r="O37" s="21">
        <v>7</v>
      </c>
      <c r="P37" s="22">
        <f t="shared" si="2"/>
        <v>515</v>
      </c>
      <c r="Q37" s="21">
        <v>2023</v>
      </c>
    </row>
    <row r="38" spans="1:17" ht="15.6" x14ac:dyDescent="0.3">
      <c r="A38" s="17">
        <v>34</v>
      </c>
      <c r="B38" s="18" t="s">
        <v>41</v>
      </c>
      <c r="C38" s="19">
        <v>1296</v>
      </c>
      <c r="D38" s="19">
        <v>64</v>
      </c>
      <c r="E38" s="19">
        <v>9</v>
      </c>
      <c r="F38" s="20">
        <f t="shared" si="0"/>
        <v>1369</v>
      </c>
      <c r="G38" s="18">
        <v>2024</v>
      </c>
      <c r="H38" s="1">
        <v>1062</v>
      </c>
      <c r="I38" s="1">
        <v>47</v>
      </c>
      <c r="J38" s="1">
        <v>14</v>
      </c>
      <c r="K38" s="2">
        <f t="shared" si="1"/>
        <v>1123</v>
      </c>
      <c r="L38" s="18">
        <v>2025</v>
      </c>
      <c r="M38" s="21">
        <v>970</v>
      </c>
      <c r="N38" s="21">
        <v>60</v>
      </c>
      <c r="O38" s="21">
        <v>21</v>
      </c>
      <c r="P38" s="22">
        <f t="shared" si="2"/>
        <v>1051</v>
      </c>
      <c r="Q38" s="21">
        <v>2023</v>
      </c>
    </row>
    <row r="39" spans="1:17" ht="15.6" x14ac:dyDescent="0.3">
      <c r="A39" s="23" t="s">
        <v>3</v>
      </c>
      <c r="B39" s="6"/>
      <c r="C39" s="24">
        <f t="shared" ref="C39:E39" si="3">SUM(C5:C38)</f>
        <v>423644</v>
      </c>
      <c r="D39" s="24">
        <f t="shared" si="3"/>
        <v>34364</v>
      </c>
      <c r="E39" s="24">
        <f t="shared" si="3"/>
        <v>4233</v>
      </c>
      <c r="F39" s="24">
        <f t="shared" si="0"/>
        <v>462241</v>
      </c>
      <c r="G39" s="18">
        <v>2024</v>
      </c>
      <c r="H39" s="2">
        <f t="shared" ref="H39:K39" si="4">SUM(H5:H38)</f>
        <v>289388</v>
      </c>
      <c r="I39" s="2">
        <f t="shared" si="4"/>
        <v>26399</v>
      </c>
      <c r="J39" s="2">
        <f t="shared" si="4"/>
        <v>3595</v>
      </c>
      <c r="K39" s="2">
        <f t="shared" si="4"/>
        <v>319382</v>
      </c>
      <c r="L39" s="18">
        <v>2025</v>
      </c>
      <c r="M39" s="25">
        <f>SUM(M5:M38)</f>
        <v>347855</v>
      </c>
      <c r="N39" s="25">
        <f t="shared" ref="N39:O39" si="5">SUM(N5:N38)</f>
        <v>19921</v>
      </c>
      <c r="O39" s="25">
        <f t="shared" si="5"/>
        <v>2971</v>
      </c>
      <c r="P39" s="25">
        <f t="shared" si="2"/>
        <v>370747</v>
      </c>
      <c r="Q39" s="26">
        <v>2023</v>
      </c>
    </row>
  </sheetData>
  <mergeCells count="11">
    <mergeCell ref="Q3:Q4"/>
    <mergeCell ref="A39:B39"/>
    <mergeCell ref="H3:J3"/>
    <mergeCell ref="G3:G4"/>
    <mergeCell ref="M3:P3"/>
    <mergeCell ref="K3:K4"/>
    <mergeCell ref="L3:L4"/>
    <mergeCell ref="A3:A4"/>
    <mergeCell ref="B3:B4"/>
    <mergeCell ref="C3:E3"/>
    <mergeCell ref="F3:F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nastitifanany</cp:lastModifiedBy>
  <dcterms:modified xsi:type="dcterms:W3CDTF">2026-05-26T03:53:55Z</dcterms:modified>
</cp:coreProperties>
</file>